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hle\Downloads\"/>
    </mc:Choice>
  </mc:AlternateContent>
  <xr:revisionPtr revIDLastSave="0" documentId="13_ncr:1_{BC7806A7-B83D-4EA3-AD87-7683CFDEE88C}" xr6:coauthVersionLast="47" xr6:coauthVersionMax="47" xr10:uidLastSave="{00000000-0000-0000-0000-000000000000}"/>
  <bookViews>
    <workbookView xWindow="-108" yWindow="-108" windowWidth="23256" windowHeight="12456" xr2:uid="{0C315070-368A-4E4C-BE3F-46912E6230C0}"/>
  </bookViews>
  <sheets>
    <sheet name="Sheet1" sheetId="1" r:id="rId1"/>
  </sheets>
  <calcPr calcId="191029"/>
  <pivotCaches>
    <pivotCache cacheId="41" r:id="rId2"/>
    <pivotCache cacheId="42" r:id="rId3"/>
    <pivotCache cacheId="43" r:id="rId4"/>
    <pivotCache cacheId="44" r:id="rId5"/>
    <pivotCache cacheId="45" r:id="rId6"/>
    <pivotCache cacheId="46" r:id="rId7"/>
    <pivotCache cacheId="47" r:id="rId8"/>
    <pivotCache cacheId="48" r:id="rId9"/>
    <pivotCache cacheId="49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<sst xmlns="http://schemas.openxmlformats.org/spreadsheetml/2006/main" count="108" uniqueCount="86">
  <si>
    <t>Row Labels</t>
  </si>
  <si>
    <t>Sum of viewership_per_province</t>
  </si>
  <si>
    <t>Eastern Cape</t>
  </si>
  <si>
    <t>Free State</t>
  </si>
  <si>
    <t>Gauteng</t>
  </si>
  <si>
    <t>Kwazulu Natal</t>
  </si>
  <si>
    <t>Limpopo</t>
  </si>
  <si>
    <t>Mpumalanga</t>
  </si>
  <si>
    <t>None</t>
  </si>
  <si>
    <t>North West</t>
  </si>
  <si>
    <t>Northern Cape</t>
  </si>
  <si>
    <t>Unknown Province</t>
  </si>
  <si>
    <t>Western Cape</t>
  </si>
  <si>
    <t>Grand Total</t>
  </si>
  <si>
    <t>VIEWERSHIP PER PROVINCE</t>
  </si>
  <si>
    <t>Sum of Viewership_per_race</t>
  </si>
  <si>
    <t>black</t>
  </si>
  <si>
    <t>coloured</t>
  </si>
  <si>
    <t>indian_asian</t>
  </si>
  <si>
    <t>other</t>
  </si>
  <si>
    <t>Unknown Race</t>
  </si>
  <si>
    <t>white</t>
  </si>
  <si>
    <t>(blank)</t>
  </si>
  <si>
    <t>VIEWERSHIP BY RACE</t>
  </si>
  <si>
    <t>Sum of Viewership_per_gender</t>
  </si>
  <si>
    <t>female</t>
  </si>
  <si>
    <t>male</t>
  </si>
  <si>
    <t>Other_gender</t>
  </si>
  <si>
    <t>VIEWERSHIP BY GENDER</t>
  </si>
  <si>
    <t>Unknown Gender</t>
  </si>
  <si>
    <t>Sum of Viewers_per_age_group</t>
  </si>
  <si>
    <t>Adult (31 to 50)</t>
  </si>
  <si>
    <t>Child (1 to 12)</t>
  </si>
  <si>
    <t>Middle Aged (51 to 65)</t>
  </si>
  <si>
    <t>Non applicable</t>
  </si>
  <si>
    <t>Seniors (greater than 65)</t>
  </si>
  <si>
    <t>Teenager (13 to 17)</t>
  </si>
  <si>
    <t>Young Adult (18 to 30)</t>
  </si>
  <si>
    <t xml:space="preserve"> VIEWERSHIP BY AGE</t>
  </si>
  <si>
    <t xml:space="preserve"> VIEWERSHIP BY MONTH</t>
  </si>
  <si>
    <t>Sum of viewership_per_channel</t>
  </si>
  <si>
    <t>Channel O</t>
  </si>
  <si>
    <t>ICC Cricket World Cup 2011</t>
  </si>
  <si>
    <t>No_Channel1</t>
  </si>
  <si>
    <t>Supersport Live Events</t>
  </si>
  <si>
    <t>Trace TV</t>
  </si>
  <si>
    <t>VIEWERSHIP PER CHANNEL</t>
  </si>
  <si>
    <t xml:space="preserve">TOP 5 </t>
  </si>
  <si>
    <t>Africa Magic</t>
  </si>
  <si>
    <t>Boomerang</t>
  </si>
  <si>
    <t>Break in transmission</t>
  </si>
  <si>
    <t>Cartoon Network</t>
  </si>
  <si>
    <t>CNN</t>
  </si>
  <si>
    <t>DStv Events 1</t>
  </si>
  <si>
    <t>E! Entertainment</t>
  </si>
  <si>
    <t>kykNET</t>
  </si>
  <si>
    <t>Live on SuperSport</t>
  </si>
  <si>
    <t>MK</t>
  </si>
  <si>
    <t>M-Net</t>
  </si>
  <si>
    <t>SawSee</t>
  </si>
  <si>
    <t>SuperSport Blitz</t>
  </si>
  <si>
    <t>Unknown_channel</t>
  </si>
  <si>
    <t>Vuzu</t>
  </si>
  <si>
    <t>Wimbledon</t>
  </si>
  <si>
    <t>Sum of Viewers_per_time_bucket</t>
  </si>
  <si>
    <t>Afternoon</t>
  </si>
  <si>
    <t>Evening</t>
  </si>
  <si>
    <t>Late Night</t>
  </si>
  <si>
    <t>Midnight</t>
  </si>
  <si>
    <t>Morning</t>
  </si>
  <si>
    <t>VIEWERSHIP PER TIME BUCKET</t>
  </si>
  <si>
    <t>VIEWERSHIP PER WEEKDAY</t>
  </si>
  <si>
    <t>Sum of total_viewership</t>
  </si>
  <si>
    <t>Sunday</t>
  </si>
  <si>
    <t>Monday</t>
  </si>
  <si>
    <t>Tuesday</t>
  </si>
  <si>
    <t>Wednesday</t>
  </si>
  <si>
    <t>Thursday</t>
  </si>
  <si>
    <t>Friday</t>
  </si>
  <si>
    <t>Saturday</t>
  </si>
  <si>
    <t>null</t>
  </si>
  <si>
    <t>Sum of Number_of_Views_per_month</t>
  </si>
  <si>
    <t>Jan</t>
  </si>
  <si>
    <t>Feb</t>
  </si>
  <si>
    <t>Mar</t>
  </si>
  <si>
    <t>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</si>
</sst>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9" tint="-0.249977111117893"/>
      <name val="Aptos Narrow"/>
      <family val="2"/>
      <scheme val="minor"/>
    </font>
    <font>
      <b/>
      <sz val="20"/>
      <color theme="6" tint="-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2" fillId="0" borderId="0" xfId="0" applyFont="1"/>
    <xf numFmtId="0" fontId="0" fillId="2" borderId="0" xfId="0" applyFill="1"/>
    <xf numFmtId="0" fontId="0" fillId="3" borderId="0" xfId="0" applyFill="1"/>
    <xf numFmtId="0" fontId="2" fillId="3" borderId="0" xfId="0" applyFont="1" applyFill="1"/>
    <xf numFmtId="0" fontId="3" fillId="0" borderId="0" xfId="0" applyFont="1"/>
    <xf numFmtId="0" fontId="0" fillId="3" borderId="0" xfId="0" applyFill="1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2"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7.xml"/><Relationship Id="rId13" Type="http://schemas.openxmlformats.org/officeDocument/2006/relationships/sharedStrings" Target="sharedStrings.xml"/><Relationship Id="rId3" Type="http://schemas.openxmlformats.org/officeDocument/2006/relationships/pivotCacheDefinition" Target="pivotCache/pivotCacheDefinition2.xml"/><Relationship Id="rId7" Type="http://schemas.openxmlformats.org/officeDocument/2006/relationships/pivotCacheDefinition" Target="pivotCache/pivotCacheDefinition6.xml"/><Relationship Id="rId12" Type="http://schemas.openxmlformats.org/officeDocument/2006/relationships/styles" Target="styles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5.xml"/><Relationship Id="rId11" Type="http://schemas.openxmlformats.org/officeDocument/2006/relationships/theme" Target="theme/theme1.xml"/><Relationship Id="rId5" Type="http://schemas.openxmlformats.org/officeDocument/2006/relationships/pivotCacheDefinition" Target="pivotCache/pivotCacheDefinition4.xml"/><Relationship Id="rId10" Type="http://schemas.openxmlformats.org/officeDocument/2006/relationships/pivotCacheDefinition" Target="pivotCache/pivotCacheDefinition9.xml"/><Relationship Id="rId4" Type="http://schemas.openxmlformats.org/officeDocument/2006/relationships/pivotCacheDefinition" Target="pivotCache/pivotCacheDefinition3.xml"/><Relationship Id="rId9" Type="http://schemas.openxmlformats.org/officeDocument/2006/relationships/pivotCacheDefinition" Target="pivotCache/pivotCacheDefinition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[AAMCHUNU PIVOTS AND GRAPHS.xlsx]Sheet1!PivotTable32</c:name>
    <c:fmtId val="9"/>
  </c:pivotSource>
  <c:chart>
    <c:autoTitleDeleted val="1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Sheet1!$C$4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Sheet1!$B$5:$B$16</c:f>
              <c:strCache>
                <c:ptCount val="11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Unknown Province</c:v>
                </c:pt>
                <c:pt idx="10">
                  <c:v>Western Cape</c:v>
                </c:pt>
              </c:strCache>
            </c:strRef>
          </c:cat>
          <c:val>
            <c:numRef>
              <c:f>Sheet1!$C$5:$C$16</c:f>
              <c:numCache>
                <c:formatCode>General</c:formatCode>
                <c:ptCount val="11"/>
                <c:pt idx="0">
                  <c:v>718</c:v>
                </c:pt>
                <c:pt idx="1">
                  <c:v>308</c:v>
                </c:pt>
                <c:pt idx="2">
                  <c:v>3786</c:v>
                </c:pt>
                <c:pt idx="3">
                  <c:v>1217</c:v>
                </c:pt>
                <c:pt idx="4">
                  <c:v>776</c:v>
                </c:pt>
                <c:pt idx="5">
                  <c:v>964</c:v>
                </c:pt>
                <c:pt idx="6">
                  <c:v>828</c:v>
                </c:pt>
                <c:pt idx="7">
                  <c:v>358</c:v>
                </c:pt>
                <c:pt idx="8">
                  <c:v>236</c:v>
                </c:pt>
                <c:pt idx="9">
                  <c:v>221</c:v>
                </c:pt>
                <c:pt idx="10">
                  <c:v>1883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8A-44F4-B990-24DD2705BF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989975840"/>
        <c:axId val="989990720"/>
      </c:barChart>
      <c:catAx>
        <c:axId val="989975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990720"/>
        <c:crosses val="autoZero"/>
        <c:auto val="1"/>
        <c:lblAlgn val="ctr"/>
        <c:lblOffset val="100"/>
        <c:noMultiLvlLbl val="0"/>
      </c:catAx>
      <c:valAx>
        <c:axId val="98999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97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[AAMCHUNU PIVOTS AND GRAPHS.xlsx]Sheet1!PivotTable34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layout>
            <c:manualLayout>
              <c:x val="5.2441757505060298E-2"/>
              <c:y val="-6.9336983908306147E-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731D742-C7B0-493B-9962-713728FDD857}" type="VALUE">
                  <a:rPr lang="en-US" b="1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Z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68D082F9-1DC4-4084-BBF0-FC259A9F9F04}" type="VALUE">
                  <a:rPr lang="en-US" b="1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Z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DE23F52-E302-4224-8A93-9BC0EA2BEC52}" type="VALUE">
                  <a:rPr lang="en-US" b="1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Z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dLbl>
          <c:idx val="0"/>
          <c:layout>
            <c:manualLayout>
              <c:x val="-5.6354405326857083E-3"/>
              <c:y val="3.1261675564580427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25D9C51-37ED-4ABD-B06C-6F44D347E7A0}" type="VALUE">
                  <a:rPr lang="en-US" b="1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Z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5"/>
        <c:dLbl>
          <c:idx val="0"/>
          <c:layout>
            <c:manualLayout>
              <c:x val="-1.4304649205555466E-2"/>
              <c:y val="-4.2202881139397304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36CAF409-26DA-400A-BE9A-D47D3AF6C820}" type="VALUE">
                  <a:rPr lang="en-US" b="1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Z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6"/>
        <c:dLbl>
          <c:idx val="0"/>
          <c:layout>
            <c:manualLayout>
              <c:x val="1.2552699348831051E-2"/>
              <c:y val="-4.1063527404341077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BB0AA3D-93B3-4D8A-9CEE-0A3166E21B6B}" type="VALUE">
                  <a:rPr lang="en-US" b="1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Z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7"/>
        <c:dLbl>
          <c:idx val="0"/>
          <c:layout>
            <c:manualLayout>
              <c:x val="2.6593290041913895E-2"/>
              <c:y val="-1.5906698500376883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467BB57-3C18-4A46-BF1E-9684995378D7}" type="VALUE">
                  <a:rPr lang="en-US" b="1"/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endParaRPr lang="en-ZA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Sheet1!$C$21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E578-4E92-8E49-68A1D4403B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E578-4E92-8E49-68A1D4403B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578-4E92-8E49-68A1D4403B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578-4E92-8E49-68A1D4403B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E578-4E92-8E49-68A1D4403B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578-4E92-8E49-68A1D4403B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578-4E92-8E49-68A1D4403BA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Sheet1!$B$22:$B$29</c:f>
              <c:strCache>
                <c:ptCount val="7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None</c:v>
                </c:pt>
                <c:pt idx="4">
                  <c:v>other</c:v>
                </c:pt>
                <c:pt idx="5">
                  <c:v>Unknown Race</c:v>
                </c:pt>
                <c:pt idx="6">
                  <c:v>white</c:v>
                </c:pt>
              </c:strCache>
            </c:strRef>
          </c:cat>
          <c:val>
            <c:numRef>
              <c:f>Sheet1!$C$22:$C$29</c:f>
              <c:numCache>
                <c:formatCode>General</c:formatCode>
                <c:ptCount val="7"/>
                <c:pt idx="0">
                  <c:v>4516</c:v>
                </c:pt>
                <c:pt idx="1">
                  <c:v>1836</c:v>
                </c:pt>
                <c:pt idx="2">
                  <c:v>1551</c:v>
                </c:pt>
                <c:pt idx="3">
                  <c:v>1674</c:v>
                </c:pt>
                <c:pt idx="4">
                  <c:v>110</c:v>
                </c:pt>
                <c:pt idx="5">
                  <c:v>235</c:v>
                </c:pt>
                <c:pt idx="6">
                  <c:v>1373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78-4E92-8E49-68A1D4403BA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310608048993872"/>
          <c:y val="0.12709171770195393"/>
          <c:w val="0.19689391951006124"/>
          <c:h val="0.758684383202099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[AAMCHUNU PIVOTS AND GRAPHS.xlsx]Sheet1!PivotTable38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Sheet1!$C$38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Sheet1!$B$39:$B$43</c:f>
              <c:strCache>
                <c:ptCount val="4"/>
                <c:pt idx="0">
                  <c:v>female</c:v>
                </c:pt>
                <c:pt idx="1">
                  <c:v>male</c:v>
                </c:pt>
                <c:pt idx="2">
                  <c:v>Other_gender</c:v>
                </c:pt>
                <c:pt idx="3">
                  <c:v>Unknown Gender</c:v>
                </c:pt>
              </c:strCache>
            </c:strRef>
          </c:cat>
          <c:val>
            <c:numRef>
              <c:f>Sheet1!$C$39:$C$43</c:f>
              <c:numCache>
                <c:formatCode>General</c:formatCode>
                <c:ptCount val="4"/>
                <c:pt idx="0">
                  <c:v>1056</c:v>
                </c:pt>
                <c:pt idx="1">
                  <c:v>9190</c:v>
                </c:pt>
                <c:pt idx="2">
                  <c:v>828</c:v>
                </c:pt>
                <c:pt idx="3">
                  <c:v>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54-44B7-ACEA-00559A281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9949920"/>
        <c:axId val="989950400"/>
      </c:barChart>
      <c:catAx>
        <c:axId val="98994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950400"/>
        <c:crosses val="autoZero"/>
        <c:auto val="1"/>
        <c:lblAlgn val="ctr"/>
        <c:lblOffset val="100"/>
        <c:noMultiLvlLbl val="0"/>
      </c:catAx>
      <c:valAx>
        <c:axId val="989950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94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[AAMCHUNU PIVOTS AND GRAPHS.xlsx]Sheet1!PivotTable40</c:name>
    <c:fmtId val="1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Sheet1!$N$4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Sheet1!$M$5:$M$12</c:f>
              <c:strCache>
                <c:ptCount val="7"/>
                <c:pt idx="0">
                  <c:v>Adult (31 to 50)</c:v>
                </c:pt>
                <c:pt idx="1">
                  <c:v>Child (1 to 12)</c:v>
                </c:pt>
                <c:pt idx="2">
                  <c:v>Middle Aged (51 to 65)</c:v>
                </c:pt>
                <c:pt idx="3">
                  <c:v>Non applicable</c:v>
                </c:pt>
                <c:pt idx="4">
                  <c:v>Seniors (greater than 65)</c:v>
                </c:pt>
                <c:pt idx="5">
                  <c:v>Teenager (13 to 17)</c:v>
                </c:pt>
                <c:pt idx="6">
                  <c:v>Young Adult (18 to 30)</c:v>
                </c:pt>
              </c:strCache>
            </c:strRef>
          </c:cat>
          <c:val>
            <c:numRef>
              <c:f>Sheet1!$N$5:$N$12</c:f>
              <c:numCache>
                <c:formatCode>General</c:formatCode>
                <c:ptCount val="7"/>
                <c:pt idx="0">
                  <c:v>4991</c:v>
                </c:pt>
                <c:pt idx="1">
                  <c:v>100</c:v>
                </c:pt>
                <c:pt idx="2">
                  <c:v>442</c:v>
                </c:pt>
                <c:pt idx="3">
                  <c:v>305</c:v>
                </c:pt>
                <c:pt idx="4">
                  <c:v>48</c:v>
                </c:pt>
                <c:pt idx="5">
                  <c:v>181</c:v>
                </c:pt>
                <c:pt idx="6">
                  <c:v>3933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CA-43A0-A267-C5A4686AD0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7505104"/>
        <c:axId val="517491664"/>
      </c:lineChart>
      <c:catAx>
        <c:axId val="51750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491664"/>
        <c:crosses val="autoZero"/>
        <c:auto val="1"/>
        <c:lblAlgn val="ctr"/>
        <c:lblOffset val="100"/>
        <c:noMultiLvlLbl val="0"/>
      </c:catAx>
      <c:valAx>
        <c:axId val="51749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505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[AAMCHUNU PIVOTS AND GRAPHS.xlsx]Sheet1!PivotTable44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Sheet1!$Z$21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FA0-4E43-B49E-B604DC0FE85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FA0-4E43-B49E-B604DC0FE85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FA0-4E43-B49E-B604DC0FE85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FA0-4E43-B49E-B604DC0FE85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FA0-4E43-B49E-B604DC0FE85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FA0-4E43-B49E-B604DC0FE85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Sheet1!$Y$22:$Y$28</c:f>
              <c:strCache>
                <c:ptCount val="6"/>
                <c:pt idx="0">
                  <c:v>Channel O</c:v>
                </c:pt>
                <c:pt idx="1">
                  <c:v>ICC Cricket World Cup 2011</c:v>
                </c:pt>
                <c:pt idx="2">
                  <c:v>No_Channel1</c:v>
                </c:pt>
                <c:pt idx="3">
                  <c:v>Supersport Live Events</c:v>
                </c:pt>
                <c:pt idx="4">
                  <c:v>Trace TV</c:v>
                </c:pt>
                <c:pt idx="5">
                  <c:v>(blank)</c:v>
                </c:pt>
              </c:strCache>
            </c:strRef>
          </c:cat>
          <c:val>
            <c:numRef>
              <c:f>Sheet1!$Z$22:$Z$28</c:f>
              <c:numCache>
                <c:formatCode>General</c:formatCode>
                <c:ptCount val="6"/>
                <c:pt idx="0">
                  <c:v>1050</c:v>
                </c:pt>
                <c:pt idx="1">
                  <c:v>1465</c:v>
                </c:pt>
                <c:pt idx="2">
                  <c:v>1295</c:v>
                </c:pt>
                <c:pt idx="3">
                  <c:v>1638</c:v>
                </c:pt>
                <c:pt idx="4">
                  <c:v>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6B-4C08-A826-24CC4C6C73A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[AAMCHUNU PIVOTS AND GRAPHS.xlsx]Sheet1!PivotTable48</c:name>
    <c:fmtId val="6"/>
  </c:pivotSource>
  <c:chart>
    <c:autoTitleDeleted val="1"/>
    <c:pivotFmts>
      <c:pivotFmt>
        <c:idx val="0"/>
        <c:spPr>
          <a:solidFill>
            <a:schemeClr val="dk1">
              <a:tint val="88500"/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Sheet1!$Z$38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dk1">
                <a:tint val="88500"/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Sheet1!$Y$39:$Y$59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Unknown_channel</c:v>
                </c:pt>
                <c:pt idx="18">
                  <c:v>Vuzu</c:v>
                </c:pt>
                <c:pt idx="19">
                  <c:v>Wimbledon</c:v>
                </c:pt>
              </c:strCache>
            </c:strRef>
          </c:cat>
          <c:val>
            <c:numRef>
              <c:f>Sheet1!$Z$39:$Z$59</c:f>
              <c:numCache>
                <c:formatCode>General</c:formatCode>
                <c:ptCount val="20"/>
                <c:pt idx="0">
                  <c:v>859</c:v>
                </c:pt>
                <c:pt idx="1">
                  <c:v>714</c:v>
                </c:pt>
                <c:pt idx="2">
                  <c:v>66</c:v>
                </c:pt>
                <c:pt idx="3">
                  <c:v>793</c:v>
                </c:pt>
                <c:pt idx="4">
                  <c:v>1050</c:v>
                </c:pt>
                <c:pt idx="5">
                  <c:v>505</c:v>
                </c:pt>
                <c:pt idx="6">
                  <c:v>107</c:v>
                </c:pt>
                <c:pt idx="7">
                  <c:v>367</c:v>
                </c:pt>
                <c:pt idx="8">
                  <c:v>1465</c:v>
                </c:pt>
                <c:pt idx="9">
                  <c:v>45</c:v>
                </c:pt>
                <c:pt idx="10">
                  <c:v>2</c:v>
                </c:pt>
                <c:pt idx="11">
                  <c:v>32</c:v>
                </c:pt>
                <c:pt idx="12">
                  <c:v>116</c:v>
                </c:pt>
                <c:pt idx="13">
                  <c:v>255</c:v>
                </c:pt>
                <c:pt idx="14">
                  <c:v>896</c:v>
                </c:pt>
                <c:pt idx="15">
                  <c:v>1662</c:v>
                </c:pt>
                <c:pt idx="16">
                  <c:v>952</c:v>
                </c:pt>
                <c:pt idx="17">
                  <c:v>1295</c:v>
                </c:pt>
                <c:pt idx="18">
                  <c:v>111</c:v>
                </c:pt>
                <c:pt idx="1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AD-44B8-BA3E-3F4B8E66274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303552224"/>
        <c:axId val="303553664"/>
      </c:barChart>
      <c:catAx>
        <c:axId val="303552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553664"/>
        <c:crosses val="autoZero"/>
        <c:auto val="1"/>
        <c:lblAlgn val="ctr"/>
        <c:lblOffset val="100"/>
        <c:noMultiLvlLbl val="0"/>
      </c:catAx>
      <c:valAx>
        <c:axId val="3035536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552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[AAMCHUNU PIVOTS AND GRAPHS.xlsx]Sheet1!PivotTable50</c:name>
    <c:fmtId val="1"/>
  </c:pivotSource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Sheet1!$Z$4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Sheet1!$Y$5:$Y$10</c:f>
              <c:strCache>
                <c:ptCount val="5"/>
                <c:pt idx="0">
                  <c:v>Afternoon</c:v>
                </c:pt>
                <c:pt idx="1">
                  <c:v>Evening</c:v>
                </c:pt>
                <c:pt idx="2">
                  <c:v>Late Night</c:v>
                </c:pt>
                <c:pt idx="3">
                  <c:v>Midnight</c:v>
                </c:pt>
                <c:pt idx="4">
                  <c:v>Morning</c:v>
                </c:pt>
              </c:strCache>
            </c:strRef>
          </c:cat>
          <c:val>
            <c:numRef>
              <c:f>Sheet1!$Z$5:$Z$10</c:f>
              <c:numCache>
                <c:formatCode>General</c:formatCode>
                <c:ptCount val="5"/>
                <c:pt idx="0">
                  <c:v>3734</c:v>
                </c:pt>
                <c:pt idx="1">
                  <c:v>3344</c:v>
                </c:pt>
                <c:pt idx="2">
                  <c:v>561</c:v>
                </c:pt>
                <c:pt idx="3">
                  <c:v>1295</c:v>
                </c:pt>
                <c:pt idx="4">
                  <c:v>2361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98-4EE7-BBF9-E32AC084AC6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77601104"/>
        <c:axId val="977599184"/>
      </c:barChart>
      <c:catAx>
        <c:axId val="977601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599184"/>
        <c:crosses val="autoZero"/>
        <c:auto val="1"/>
        <c:lblAlgn val="ctr"/>
        <c:lblOffset val="100"/>
        <c:noMultiLvlLbl val="0"/>
      </c:catAx>
      <c:valAx>
        <c:axId val="97759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60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[AAMCHUNU PIVOTS AND GRAPHS.xlsx]Sheet1!PivotTable52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Sheet1!$N$38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16D-408E-9416-3C092F572D9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16D-408E-9416-3C092F572D9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16D-408E-9416-3C092F572D9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16D-408E-9416-3C092F572D9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16D-408E-9416-3C092F572D9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16D-408E-9416-3C092F572D9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16D-408E-9416-3C092F572D9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16D-408E-9416-3C092F572D9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Sheet1!$M$39:$M$47</c:f>
              <c:strCache>
                <c:ptCount val="8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  <c:pt idx="7">
                  <c:v>null</c:v>
                </c:pt>
              </c:strCache>
            </c:strRef>
          </c:cat>
          <c:val>
            <c:numRef>
              <c:f>Sheet1!$N$39:$N$47</c:f>
              <c:numCache>
                <c:formatCode>General</c:formatCode>
                <c:ptCount val="8"/>
                <c:pt idx="0">
                  <c:v>1419</c:v>
                </c:pt>
                <c:pt idx="1">
                  <c:v>957</c:v>
                </c:pt>
                <c:pt idx="2">
                  <c:v>1322</c:v>
                </c:pt>
                <c:pt idx="3">
                  <c:v>1553</c:v>
                </c:pt>
                <c:pt idx="4">
                  <c:v>1441</c:v>
                </c:pt>
                <c:pt idx="5">
                  <c:v>1675</c:v>
                </c:pt>
                <c:pt idx="6">
                  <c:v>1633</c:v>
                </c:pt>
                <c:pt idx="7">
                  <c:v>1295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60-45CC-AF66-4668AD061BD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050993980905881"/>
          <c:y val="0.20651428988043161"/>
          <c:w val="0.19238883078759914"/>
          <c:h val="0.697478492271799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[AAMCHUNU PIVOTS AND GRAPHS.xlsx]Sheet1!PivotTable54</c:name>
    <c:fmtId val="4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Sheet1!$N$21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Sheet1!$M$22:$M$26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Sheet1!$N$22:$N$26</c:f>
              <c:numCache>
                <c:formatCode>General</c:formatCode>
                <c:ptCount val="4"/>
                <c:pt idx="0">
                  <c:v>2199</c:v>
                </c:pt>
                <c:pt idx="1">
                  <c:v>2980</c:v>
                </c:pt>
                <c:pt idx="2">
                  <c:v>4816</c:v>
                </c:pt>
                <c:pt idx="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A-4125-8CEF-2B397FBD40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4243280"/>
        <c:axId val="1184228880"/>
      </c:lineChart>
      <c:catAx>
        <c:axId val="1184243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228880"/>
        <c:crosses val="autoZero"/>
        <c:auto val="1"/>
        <c:lblAlgn val="ctr"/>
        <c:lblOffset val="100"/>
        <c:noMultiLvlLbl val="0"/>
      </c:catAx>
      <c:valAx>
        <c:axId val="1184228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243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2</xdr:row>
      <xdr:rowOff>171450</xdr:rowOff>
    </xdr:from>
    <xdr:to>
      <xdr:col>10</xdr:col>
      <xdr:colOff>312420</xdr:colOff>
      <xdr:row>17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EDB412-3892-4BD7-C797-440BA22196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19</xdr:row>
      <xdr:rowOff>262890</xdr:rowOff>
    </xdr:from>
    <xdr:to>
      <xdr:col>10</xdr:col>
      <xdr:colOff>304800</xdr:colOff>
      <xdr:row>34</xdr:row>
      <xdr:rowOff>118110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6F8ABA-5EA0-8C9B-F4D4-A330E8540E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10990</xdr:colOff>
      <xdr:row>36</xdr:row>
      <xdr:rowOff>320919</xdr:rowOff>
    </xdr:from>
    <xdr:to>
      <xdr:col>10</xdr:col>
      <xdr:colOff>326048</xdr:colOff>
      <xdr:row>51</xdr:row>
      <xdr:rowOff>169985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83309FE-4E6E-3D32-0703-E410FF4E2E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43016</xdr:colOff>
      <xdr:row>2</xdr:row>
      <xdr:rowOff>250723</xdr:rowOff>
    </xdr:from>
    <xdr:to>
      <xdr:col>22</xdr:col>
      <xdr:colOff>313403</xdr:colOff>
      <xdr:row>17</xdr:row>
      <xdr:rowOff>81117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C633DA3-908F-CA1E-21D3-641A66C45F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10990</xdr:colOff>
      <xdr:row>19</xdr:row>
      <xdr:rowOff>306264</xdr:rowOff>
    </xdr:from>
    <xdr:to>
      <xdr:col>33</xdr:col>
      <xdr:colOff>326048</xdr:colOff>
      <xdr:row>34</xdr:row>
      <xdr:rowOff>155329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28D1E72-41A4-B45A-9271-0BE3F3FCEF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10990</xdr:colOff>
      <xdr:row>36</xdr:row>
      <xdr:rowOff>322383</xdr:rowOff>
    </xdr:from>
    <xdr:to>
      <xdr:col>33</xdr:col>
      <xdr:colOff>326048</xdr:colOff>
      <xdr:row>59</xdr:row>
      <xdr:rowOff>161191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5AA0668-521C-724C-849F-5F57C3C4E8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567905</xdr:colOff>
      <xdr:row>2</xdr:row>
      <xdr:rowOff>209910</xdr:rowOff>
    </xdr:from>
    <xdr:to>
      <xdr:col>34</xdr:col>
      <xdr:colOff>309113</xdr:colOff>
      <xdr:row>17</xdr:row>
      <xdr:rowOff>5751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43D40A0-F2F6-0863-639E-1E9C0AC5E5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96387</xdr:colOff>
      <xdr:row>36</xdr:row>
      <xdr:rowOff>261257</xdr:rowOff>
    </xdr:from>
    <xdr:to>
      <xdr:col>21</xdr:col>
      <xdr:colOff>257298</xdr:colOff>
      <xdr:row>52</xdr:row>
      <xdr:rowOff>5937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FA9F897-5F17-6026-5191-43D7664F4C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79168</xdr:colOff>
      <xdr:row>19</xdr:row>
      <xdr:rowOff>261257</xdr:rowOff>
    </xdr:from>
    <xdr:to>
      <xdr:col>21</xdr:col>
      <xdr:colOff>356259</xdr:colOff>
      <xdr:row>35</xdr:row>
      <xdr:rowOff>5937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901BEE0-C524-FBE8-1BA2-6DB9A19BF9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Viewership%20per%20province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BY%20RACE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BY%20GENDER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BY%20AGE.xlsx" TargetMode="External"/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2" Type="http://schemas.openxmlformats.org/officeDocument/2006/relationships/externalLinkPath" Target="top%205.xlsx" TargetMode="External"/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2" Type="http://schemas.openxmlformats.org/officeDocument/2006/relationships/externalLinkPath" Target="New_Query_2026_04_19_04_28_04%20(3).xlsx" TargetMode="External"/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2" Type="http://schemas.openxmlformats.org/officeDocument/2006/relationships/externalLinkPath" Target="New_Query_2026_04_19_04_28_04%20(2).xlsx" TargetMode="External"/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2" Type="http://schemas.openxmlformats.org/officeDocument/2006/relationships/externalLinkPath" Target="New_Query_2026_04_19_04_28_04.xlsx" TargetMode="External"/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2" Type="http://schemas.openxmlformats.org/officeDocument/2006/relationships/externalLinkPath" Target="BY%20MONTH.xlsx" TargetMode="External"/><Relationship Id="rId1" Type="http://schemas.openxmlformats.org/officeDocument/2006/relationships/pivotCacheRecords" Target="pivotCacheRecords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iswa Mchunu" refreshedDate="46131.532081249999" createdVersion="8" refreshedVersion="8" minRefreshableVersion="3" recordCount="12" xr:uid="{01E7E1EB-C58F-44B7-B3D5-19E680CC3487}">
  <cacheSource type="worksheet">
    <worksheetSource ref="A1:B1048576" sheet="result" r:id="rId2"/>
  </cacheSource>
  <cacheFields count="2">
    <cacheField name="Province" numFmtId="0">
      <sharedItems containsBlank="1" count="12">
        <s v="Gauteng"/>
        <s v="Western Cape"/>
        <s v="Kwazulu Natal"/>
        <s v="Mpumalanga"/>
        <s v="None"/>
        <s v="Limpopo"/>
        <s v="Eastern Cape"/>
        <s v="North West"/>
        <s v="Free State"/>
        <s v="Northern Cape"/>
        <s v="Unknown Province"/>
        <m/>
      </sharedItems>
    </cacheField>
    <cacheField name="viewership_per_province" numFmtId="0">
      <sharedItems containsString="0" containsBlank="1" containsNumber="1" containsInteger="1" minValue="221" maxValue="378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iswa Mchunu" refreshedDate="46131.539655787034" createdVersion="8" refreshedVersion="8" minRefreshableVersion="3" recordCount="8" xr:uid="{7B2CE4AF-1DBF-4DFD-858A-1F7D95829DBA}">
  <cacheSource type="worksheet">
    <worksheetSource ref="A1:B1048576" sheet="result" r:id="rId2"/>
  </cacheSource>
  <cacheFields count="2">
    <cacheField name="Race" numFmtId="0">
      <sharedItems containsBlank="1" count="8">
        <s v="black"/>
        <s v="coloured"/>
        <s v="None"/>
        <s v="indian_asian"/>
        <s v="white"/>
        <s v="Unknown Race"/>
        <s v="other"/>
        <m/>
      </sharedItems>
    </cacheField>
    <cacheField name="Viewership_per_race" numFmtId="0">
      <sharedItems containsString="0" containsBlank="1" containsNumber="1" containsInteger="1" minValue="110" maxValue="45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iswa Mchunu" refreshedDate="46131.551344907406" createdVersion="8" refreshedVersion="8" minRefreshableVersion="3" recordCount="5" xr:uid="{63EDF6B6-039E-42AE-B82E-A187A669CA8D}">
  <cacheSource type="worksheet">
    <worksheetSource ref="A1:B1048576" sheet="result" r:id="rId2"/>
  </cacheSource>
  <cacheFields count="2">
    <cacheField name="Gender" numFmtId="0">
      <sharedItems containsBlank="1" count="5">
        <s v="male"/>
        <s v="female"/>
        <s v="Other_gender"/>
        <s v="Unknown Gender"/>
        <m/>
      </sharedItems>
    </cacheField>
    <cacheField name="Viewership_per_gender" numFmtId="0">
      <sharedItems containsString="0" containsBlank="1" containsNumber="1" containsInteger="1" minValue="221" maxValue="91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iswa Mchunu" refreshedDate="46131.556450231481" createdVersion="8" refreshedVersion="8" minRefreshableVersion="3" recordCount="7" xr:uid="{D2196B8F-CE68-4773-B397-BFCE52CE6E77}">
  <cacheSource type="worksheet">
    <worksheetSource ref="A1:B8" sheet="result" r:id="rId2"/>
  </cacheSource>
  <cacheFields count="2">
    <cacheField name="Age_Group" numFmtId="0">
      <sharedItems count="7">
        <s v="Adult (31 to 50)"/>
        <s v="Young Adult (18 to 30)"/>
        <s v="Middle Aged (51 to 65)"/>
        <s v="Non applicable"/>
        <s v="Teenager (13 to 17)"/>
        <s v="Child (1 to 12)"/>
        <s v="Seniors (greater than 65)"/>
      </sharedItems>
    </cacheField>
    <cacheField name="Viewers_per_age_group" numFmtId="0">
      <sharedItems containsSemiMixedTypes="0" containsString="0" containsNumber="1" containsInteger="1" minValue="48" maxValue="49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iswa Mchunu" refreshedDate="46131.604124768521" createdVersion="8" refreshedVersion="8" minRefreshableVersion="3" recordCount="6" xr:uid="{5D664A95-D752-4CF5-88D6-C7921D966452}">
  <cacheSource type="worksheet">
    <worksheetSource ref="A1:B1048576" sheet="result" r:id="rId2"/>
  </cacheSource>
  <cacheFields count="2">
    <cacheField name="Channel2" numFmtId="0">
      <sharedItems containsBlank="1" count="6">
        <s v="Supersport Live Events"/>
        <s v="ICC Cricket World Cup 2011"/>
        <s v="No_Channel1"/>
        <s v="Channel O"/>
        <s v="Trace TV"/>
        <m/>
      </sharedItems>
    </cacheField>
    <cacheField name="viewership_per_channel" numFmtId="0">
      <sharedItems containsString="0" containsBlank="1" containsNumber="1" containsInteger="1" minValue="952" maxValue="163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iswa Mchunu" refreshedDate="46131.608129398148" createdVersion="8" refreshedVersion="8" minRefreshableVersion="3" recordCount="23" xr:uid="{B9AFA686-C46B-4DD3-85AC-1EBFAF203BAA}">
  <cacheSource type="worksheet">
    <worksheetSource ref="A1:B1048576" sheet="result" r:id="rId2"/>
  </cacheSource>
  <cacheFields count="2">
    <cacheField name="Channel2" numFmtId="0">
      <sharedItems containsBlank="1" count="21">
        <s v="Supersport Live Events"/>
        <s v="ICC Cricket World Cup 2011"/>
        <s v="Unknown_channel"/>
        <s v="Channel O"/>
        <s v="Trace TV"/>
        <s v="SuperSport Blitz"/>
        <s v="Africa Magic"/>
        <s v="Cartoon Network"/>
        <s v="Boomerang"/>
        <s v="CNN"/>
        <s v="E! Entertainment"/>
        <s v="SawSee"/>
        <s v="M-Net"/>
        <s v="Vuzu"/>
        <s v="DStv Events 1"/>
        <s v="Break in transmission"/>
        <s v="kykNET"/>
        <s v="MK"/>
        <s v="Wimbledon"/>
        <s v="Live on SuperSport"/>
        <m/>
      </sharedItems>
    </cacheField>
    <cacheField name="viewership_per_channel" numFmtId="0">
      <sharedItems containsString="0" containsBlank="1" containsNumber="1" containsInteger="1" minValue="2" maxValue="163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iswa Mchunu" refreshedDate="46131.611163310183" createdVersion="8" refreshedVersion="8" minRefreshableVersion="3" recordCount="6" xr:uid="{8FD2B762-AD0F-473D-8B28-22A5E4B32100}">
  <cacheSource type="worksheet">
    <worksheetSource ref="A1:B1048576" sheet="result" r:id="rId2"/>
  </cacheSource>
  <cacheFields count="2">
    <cacheField name="Time_bucket" numFmtId="0">
      <sharedItems containsBlank="1" count="6">
        <s v="Afternoon"/>
        <s v="Evening"/>
        <s v="Morning"/>
        <s v="Midnight"/>
        <s v="Late Night"/>
        <m/>
      </sharedItems>
    </cacheField>
    <cacheField name="Viewers_per_time_bucket" numFmtId="0">
      <sharedItems containsString="0" containsBlank="1" containsNumber="1" containsInteger="1" minValue="561" maxValue="37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iswa Mchunu" refreshedDate="46131.612414583331" createdVersion="8" refreshedVersion="8" minRefreshableVersion="3" recordCount="10" xr:uid="{F4576FA2-A8D5-4A88-AD87-B4C83EA73EC9}">
  <cacheSource type="worksheet">
    <worksheetSource ref="A1:B1048576" sheet="result" r:id="rId2"/>
  </cacheSource>
  <cacheFields count="2">
    <cacheField name="day_name" numFmtId="0">
      <sharedItems containsBlank="1" count="9">
        <s v="Friday"/>
        <s v="Saturday"/>
        <s v="Wednesday"/>
        <s v="Thursday"/>
        <s v="Sunday"/>
        <s v="Tuesday"/>
        <s v="null"/>
        <s v="Monday"/>
        <m/>
      </sharedItems>
    </cacheField>
    <cacheField name="total_viewership" numFmtId="0">
      <sharedItems containsString="0" containsBlank="1" containsNumber="1" containsInteger="1" minValue="957" maxValue="16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iswa Mchunu" refreshedDate="46131.613608680556" createdVersion="8" refreshedVersion="8" minRefreshableVersion="3" recordCount="4" xr:uid="{34911927-84F0-40D1-A035-F8175CD9BDF3}">
  <cacheSource type="worksheet">
    <worksheetSource ref="A1:B5" sheet="result" r:id="rId2"/>
  </cacheSource>
  <cacheFields count="2">
    <cacheField name="Month_Name" numFmtId="0">
      <sharedItems count="4">
        <s v="Mar"/>
        <s v="Apr"/>
        <s v="Jan"/>
        <s v="Feb"/>
      </sharedItems>
    </cacheField>
    <cacheField name="Number_of_Views_per_month" numFmtId="0">
      <sharedItems containsSemiMixedTypes="0" containsString="0" containsNumber="1" containsInteger="1" minValue="5" maxValue="48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3786"/>
  </r>
  <r>
    <x v="1"/>
    <n v="1883"/>
  </r>
  <r>
    <x v="2"/>
    <n v="1217"/>
  </r>
  <r>
    <x v="3"/>
    <n v="964"/>
  </r>
  <r>
    <x v="4"/>
    <n v="828"/>
  </r>
  <r>
    <x v="5"/>
    <n v="776"/>
  </r>
  <r>
    <x v="6"/>
    <n v="718"/>
  </r>
  <r>
    <x v="7"/>
    <n v="358"/>
  </r>
  <r>
    <x v="8"/>
    <n v="308"/>
  </r>
  <r>
    <x v="9"/>
    <n v="236"/>
  </r>
  <r>
    <x v="10"/>
    <n v="221"/>
  </r>
  <r>
    <x v="11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n v="4516"/>
  </r>
  <r>
    <x v="1"/>
    <n v="1836"/>
  </r>
  <r>
    <x v="2"/>
    <n v="1674"/>
  </r>
  <r>
    <x v="3"/>
    <n v="1551"/>
  </r>
  <r>
    <x v="4"/>
    <n v="1373"/>
  </r>
  <r>
    <x v="5"/>
    <n v="235"/>
  </r>
  <r>
    <x v="6"/>
    <n v="110"/>
  </r>
  <r>
    <x v="7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9190"/>
  </r>
  <r>
    <x v="1"/>
    <n v="1056"/>
  </r>
  <r>
    <x v="2"/>
    <n v="828"/>
  </r>
  <r>
    <x v="3"/>
    <n v="221"/>
  </r>
  <r>
    <x v="4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n v="4991"/>
  </r>
  <r>
    <x v="1"/>
    <n v="3933"/>
  </r>
  <r>
    <x v="2"/>
    <n v="442"/>
  </r>
  <r>
    <x v="3"/>
    <n v="305"/>
  </r>
  <r>
    <x v="4"/>
    <n v="181"/>
  </r>
  <r>
    <x v="5"/>
    <n v="100"/>
  </r>
  <r>
    <x v="6"/>
    <n v="48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1638"/>
  </r>
  <r>
    <x v="1"/>
    <n v="1465"/>
  </r>
  <r>
    <x v="2"/>
    <n v="1295"/>
  </r>
  <r>
    <x v="3"/>
    <n v="1050"/>
  </r>
  <r>
    <x v="4"/>
    <n v="952"/>
  </r>
  <r>
    <x v="5"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x v="0"/>
    <n v="1638"/>
  </r>
  <r>
    <x v="1"/>
    <n v="1465"/>
  </r>
  <r>
    <x v="2"/>
    <n v="1295"/>
  </r>
  <r>
    <x v="3"/>
    <n v="1050"/>
  </r>
  <r>
    <x v="4"/>
    <n v="952"/>
  </r>
  <r>
    <x v="5"/>
    <n v="896"/>
  </r>
  <r>
    <x v="6"/>
    <n v="859"/>
  </r>
  <r>
    <x v="7"/>
    <n v="793"/>
  </r>
  <r>
    <x v="8"/>
    <n v="714"/>
  </r>
  <r>
    <x v="9"/>
    <n v="505"/>
  </r>
  <r>
    <x v="10"/>
    <n v="367"/>
  </r>
  <r>
    <x v="11"/>
    <n v="251"/>
  </r>
  <r>
    <x v="12"/>
    <n v="116"/>
  </r>
  <r>
    <x v="13"/>
    <n v="111"/>
  </r>
  <r>
    <x v="14"/>
    <n v="107"/>
  </r>
  <r>
    <x v="15"/>
    <n v="66"/>
  </r>
  <r>
    <x v="16"/>
    <n v="45"/>
  </r>
  <r>
    <x v="17"/>
    <n v="32"/>
  </r>
  <r>
    <x v="0"/>
    <n v="24"/>
  </r>
  <r>
    <x v="11"/>
    <n v="4"/>
  </r>
  <r>
    <x v="18"/>
    <n v="3"/>
  </r>
  <r>
    <x v="19"/>
    <n v="2"/>
  </r>
  <r>
    <x v="20"/>
    <m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3734"/>
  </r>
  <r>
    <x v="1"/>
    <n v="3344"/>
  </r>
  <r>
    <x v="2"/>
    <n v="2361"/>
  </r>
  <r>
    <x v="3"/>
    <n v="1295"/>
  </r>
  <r>
    <x v="4"/>
    <n v="561"/>
  </r>
  <r>
    <x v="5"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1675"/>
  </r>
  <r>
    <x v="1"/>
    <n v="1633"/>
  </r>
  <r>
    <x v="2"/>
    <n v="1553"/>
  </r>
  <r>
    <x v="3"/>
    <n v="1441"/>
  </r>
  <r>
    <x v="4"/>
    <n v="1419"/>
  </r>
  <r>
    <x v="5"/>
    <n v="1322"/>
  </r>
  <r>
    <x v="6"/>
    <n v="1295"/>
  </r>
  <r>
    <x v="7"/>
    <n v="957"/>
  </r>
  <r>
    <x v="8"/>
    <m/>
  </r>
  <r>
    <x v="8"/>
    <m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4816"/>
  </r>
  <r>
    <x v="1"/>
    <n v="5"/>
  </r>
  <r>
    <x v="2"/>
    <n v="2199"/>
  </r>
  <r>
    <x v="3"/>
    <n v="29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603983-8933-467E-9A5D-0A0AACB2566C}" name="PivotTable40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M4:N12" firstHeaderRow="1" firstDataRow="1" firstDataCol="1"/>
  <pivotFields count="2">
    <pivotField axis="axisRow" showAll="0" sortType="ascending">
      <items count="8">
        <item x="0"/>
        <item x="5"/>
        <item x="2"/>
        <item x="3"/>
        <item x="6"/>
        <item x="4"/>
        <item x="1"/>
        <item t="default"/>
      </items>
    </pivotField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Viewers_per_age_group" fld="1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F5B712-70C5-4556-9B75-BCFABD3EC7E2}" name="PivotTable50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Y4:Z10" firstHeaderRow="1" firstDataRow="1" firstDataCol="1"/>
  <pivotFields count="2">
    <pivotField axis="axisRow" showAll="0">
      <items count="7">
        <item x="0"/>
        <item x="1"/>
        <item x="4"/>
        <item x="3"/>
        <item x="2"/>
        <item h="1" x="5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Viewers_per_time_bucket" fld="1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0788E9-BE48-4635-BFF1-5EB3E1E2E1DA}" name="PivotTable52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M38:N47" firstHeaderRow="1" firstDataRow="1" firstDataCol="1"/>
  <pivotFields count="2">
    <pivotField axis="axisRow" showAll="0">
      <items count="10">
        <item x="4"/>
        <item x="7"/>
        <item x="5"/>
        <item x="2"/>
        <item x="3"/>
        <item x="0"/>
        <item x="1"/>
        <item x="6"/>
        <item h="1" x="8"/>
        <item t="default"/>
      </items>
    </pivotField>
    <pivotField dataField="1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_viewership" fld="1" baseField="0" baseItem="0"/>
  </dataFields>
  <chartFormats count="9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64E451-94B6-41D4-A6CD-31253E1BA23C}" name="PivotTable48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Y38:Z59" firstHeaderRow="1" firstDataRow="1" firstDataCol="1"/>
  <pivotFields count="2">
    <pivotField axis="axisRow" showAll="0">
      <items count="22">
        <item x="6"/>
        <item x="8"/>
        <item x="15"/>
        <item x="7"/>
        <item x="3"/>
        <item x="9"/>
        <item x="14"/>
        <item x="10"/>
        <item x="1"/>
        <item x="16"/>
        <item x="19"/>
        <item x="17"/>
        <item x="12"/>
        <item x="11"/>
        <item x="5"/>
        <item x="0"/>
        <item x="4"/>
        <item x="2"/>
        <item x="13"/>
        <item x="18"/>
        <item h="1" x="20"/>
        <item t="default"/>
      </items>
    </pivotField>
    <pivotField dataField="1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viewership_per_channel" fld="1" baseField="0" baseItem="0"/>
  </dataFields>
  <formats count="2">
    <format dxfId="1">
      <pivotArea collapsedLevelsAreSubtotals="1" fieldPosition="0">
        <references count="1">
          <reference field="0" count="1">
            <x v="15"/>
          </reference>
        </references>
      </pivotArea>
    </format>
    <format dxfId="0">
      <pivotArea dataOnly="0" labelOnly="1" fieldPosition="0">
        <references count="1">
          <reference field="0" count="1">
            <x v="15"/>
          </reference>
        </references>
      </pivotArea>
    </format>
  </format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96809D-24C4-407B-A642-C79EE7B3CDD9}" name="PivotTable38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B38:C43" firstHeaderRow="1" firstDataRow="1" firstDataCol="1"/>
  <pivotFields count="2">
    <pivotField axis="axisRow" showAll="0">
      <items count="6">
        <item x="1"/>
        <item x="0"/>
        <item x="2"/>
        <item x="3"/>
        <item h="1" x="4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Viewership_per_gender" fld="1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AB3EEA-9481-4789-905E-BAAA0499268F}" name="PivotTable34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B21:C29" firstHeaderRow="1" firstDataRow="1" firstDataCol="1"/>
  <pivotFields count="2">
    <pivotField axis="axisRow" showAll="0">
      <items count="9">
        <item x="0"/>
        <item x="1"/>
        <item x="3"/>
        <item x="2"/>
        <item x="6"/>
        <item x="5"/>
        <item x="4"/>
        <item h="1" x="7"/>
        <item t="default"/>
      </items>
    </pivotField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Viewership_per_race" fld="1" baseField="0" baseItem="0"/>
  </dataFields>
  <chartFormats count="8">
    <chartFormat chart="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6F57AB-9824-4613-93EB-3BA307E8A9F2}" name="PivotTable32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B4:C16" firstHeaderRow="1" firstDataRow="1" firstDataCol="1"/>
  <pivotFields count="2">
    <pivotField axis="axisRow" showAll="0">
      <items count="13">
        <item x="6"/>
        <item x="8"/>
        <item x="0"/>
        <item x="2"/>
        <item x="5"/>
        <item x="3"/>
        <item x="4"/>
        <item x="7"/>
        <item x="9"/>
        <item x="10"/>
        <item x="1"/>
        <item h="1" x="11"/>
        <item t="default"/>
      </items>
    </pivotField>
    <pivotField dataField="1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viewership_per_province" fld="1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23248C-06F8-4857-B9D3-A9129B66CFF8}" name="PivotTable44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Y21:Z28" firstHeaderRow="1" firstDataRow="1" firstDataCol="1"/>
  <pivotFields count="2">
    <pivotField axis="axisRow" showAll="0">
      <items count="7">
        <item x="3"/>
        <item x="1"/>
        <item x="2"/>
        <item x="0"/>
        <item x="4"/>
        <item x="5"/>
        <item t="default"/>
      </items>
    </pivotField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viewership_per_channel" fld="1" baseField="0" baseItem="0"/>
  </dataFields>
  <chartFormats count="7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8CDE25-134B-4732-B688-E2C78F25AA5C}" name="PivotTable54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M21:N26" firstHeaderRow="1" firstDataRow="1" firstDataCol="1"/>
  <pivotFields count="2">
    <pivotField axis="axisRow" showAll="0">
      <items count="5">
        <item x="2"/>
        <item x="3"/>
        <item x="0"/>
        <item x="1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Number_of_Views_per_month" fld="1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C38A1-B35F-4BA8-A528-14C3912802E1}">
  <dimension ref="A1:AM197"/>
  <sheetViews>
    <sheetView tabSelected="1" zoomScale="43" zoomScaleNormal="62" workbookViewId="0">
      <selection activeCell="AM61" sqref="AM61"/>
    </sheetView>
  </sheetViews>
  <sheetFormatPr defaultRowHeight="14.4"/>
  <cols>
    <col min="1" max="1" width="5.109375" customWidth="1"/>
    <col min="2" max="2" width="15.33203125" bestFit="1" customWidth="1"/>
    <col min="3" max="3" width="26.33203125" bestFit="1" customWidth="1"/>
    <col min="11" max="11" width="8.88671875" customWidth="1"/>
    <col min="12" max="12" width="3.44140625" customWidth="1"/>
    <col min="13" max="13" width="13" bestFit="1" customWidth="1"/>
    <col min="14" max="14" width="20.33203125" bestFit="1" customWidth="1"/>
    <col min="24" max="24" width="3" customWidth="1"/>
    <col min="25" max="25" width="13" bestFit="1" customWidth="1"/>
    <col min="26" max="26" width="28.109375" bestFit="1" customWidth="1"/>
    <col min="38" max="38" width="4" customWidth="1"/>
  </cols>
  <sheetData>
    <row r="1" spans="1:38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spans="1:38">
      <c r="A2" s="4"/>
      <c r="L2" s="4"/>
      <c r="X2" s="4"/>
      <c r="Y2" t="s">
        <v>70</v>
      </c>
      <c r="AL2" s="4"/>
    </row>
    <row r="3" spans="1:38" ht="25.8">
      <c r="A3" s="4"/>
      <c r="B3" s="3" t="s">
        <v>14</v>
      </c>
      <c r="L3" s="4"/>
      <c r="M3" s="6" t="s">
        <v>38</v>
      </c>
      <c r="N3" s="5"/>
      <c r="O3" s="5"/>
      <c r="P3" s="5"/>
      <c r="Q3" s="5"/>
      <c r="R3" s="5"/>
      <c r="S3" s="5"/>
      <c r="T3" s="5"/>
      <c r="U3" s="5"/>
      <c r="V3" s="5"/>
      <c r="W3" s="5"/>
      <c r="X3" s="4"/>
      <c r="AL3" s="4"/>
    </row>
    <row r="4" spans="1:38">
      <c r="A4" s="4"/>
      <c r="B4" s="2" t="s">
        <v>0</v>
      </c>
      <c r="C4" t="s">
        <v>1</v>
      </c>
      <c r="L4" s="4"/>
      <c r="M4" s="2" t="s">
        <v>0</v>
      </c>
      <c r="N4" t="s">
        <v>30</v>
      </c>
      <c r="X4" s="4"/>
      <c r="Y4" s="2" t="s">
        <v>0</v>
      </c>
      <c r="Z4" t="s">
        <v>64</v>
      </c>
      <c r="AL4" s="4"/>
    </row>
    <row r="5" spans="1:38">
      <c r="A5" s="4"/>
      <c r="B5" s="1" t="s">
        <v>2</v>
      </c>
      <c r="C5">
        <v>718</v>
      </c>
      <c r="L5" s="4"/>
      <c r="M5" s="1" t="s">
        <v>31</v>
      </c>
      <c r="N5">
        <v>4991</v>
      </c>
      <c r="X5" s="4"/>
      <c r="Y5" s="1" t="s">
        <v>65</v>
      </c>
      <c r="Z5">
        <v>3734</v>
      </c>
      <c r="AL5" s="4"/>
    </row>
    <row r="6" spans="1:38">
      <c r="A6" s="4"/>
      <c r="B6" s="1" t="s">
        <v>3</v>
      </c>
      <c r="C6">
        <v>308</v>
      </c>
      <c r="L6" s="4"/>
      <c r="M6" s="1" t="s">
        <v>32</v>
      </c>
      <c r="N6">
        <v>100</v>
      </c>
      <c r="X6" s="4"/>
      <c r="Y6" s="1" t="s">
        <v>66</v>
      </c>
      <c r="Z6">
        <v>3344</v>
      </c>
      <c r="AL6" s="4"/>
    </row>
    <row r="7" spans="1:38">
      <c r="A7" s="4"/>
      <c r="B7" s="1" t="s">
        <v>4</v>
      </c>
      <c r="C7">
        <v>3786</v>
      </c>
      <c r="L7" s="4"/>
      <c r="M7" s="1" t="s">
        <v>33</v>
      </c>
      <c r="N7">
        <v>442</v>
      </c>
      <c r="X7" s="4"/>
      <c r="Y7" s="1" t="s">
        <v>67</v>
      </c>
      <c r="Z7">
        <v>561</v>
      </c>
      <c r="AL7" s="4"/>
    </row>
    <row r="8" spans="1:38">
      <c r="A8" s="4"/>
      <c r="B8" s="1" t="s">
        <v>5</v>
      </c>
      <c r="C8">
        <v>1217</v>
      </c>
      <c r="L8" s="4"/>
      <c r="M8" s="1" t="s">
        <v>34</v>
      </c>
      <c r="N8">
        <v>305</v>
      </c>
      <c r="X8" s="4"/>
      <c r="Y8" s="1" t="s">
        <v>68</v>
      </c>
      <c r="Z8">
        <v>1295</v>
      </c>
      <c r="AL8" s="4"/>
    </row>
    <row r="9" spans="1:38">
      <c r="A9" s="4"/>
      <c r="B9" s="1" t="s">
        <v>6</v>
      </c>
      <c r="C9">
        <v>776</v>
      </c>
      <c r="L9" s="4"/>
      <c r="M9" s="1" t="s">
        <v>35</v>
      </c>
      <c r="N9">
        <v>48</v>
      </c>
      <c r="X9" s="4"/>
      <c r="Y9" s="1" t="s">
        <v>69</v>
      </c>
      <c r="Z9">
        <v>2361</v>
      </c>
      <c r="AL9" s="4"/>
    </row>
    <row r="10" spans="1:38">
      <c r="A10" s="4"/>
      <c r="B10" s="1" t="s">
        <v>7</v>
      </c>
      <c r="C10">
        <v>964</v>
      </c>
      <c r="L10" s="4"/>
      <c r="M10" s="1" t="s">
        <v>36</v>
      </c>
      <c r="N10">
        <v>181</v>
      </c>
      <c r="X10" s="4"/>
      <c r="Y10" s="1" t="s">
        <v>13</v>
      </c>
      <c r="Z10">
        <v>11295</v>
      </c>
      <c r="AL10" s="4"/>
    </row>
    <row r="11" spans="1:38">
      <c r="A11" s="4"/>
      <c r="B11" s="1" t="s">
        <v>8</v>
      </c>
      <c r="C11">
        <v>828</v>
      </c>
      <c r="L11" s="4"/>
      <c r="M11" s="1" t="s">
        <v>37</v>
      </c>
      <c r="N11">
        <v>3933</v>
      </c>
      <c r="X11" s="4"/>
      <c r="AL11" s="4"/>
    </row>
    <row r="12" spans="1:38">
      <c r="A12" s="4"/>
      <c r="B12" s="1" t="s">
        <v>9</v>
      </c>
      <c r="C12">
        <v>358</v>
      </c>
      <c r="L12" s="4"/>
      <c r="M12" s="1" t="s">
        <v>13</v>
      </c>
      <c r="N12">
        <v>10000</v>
      </c>
      <c r="X12" s="4"/>
      <c r="AL12" s="4"/>
    </row>
    <row r="13" spans="1:38">
      <c r="A13" s="4"/>
      <c r="B13" s="1" t="s">
        <v>10</v>
      </c>
      <c r="C13">
        <v>236</v>
      </c>
      <c r="L13" s="4"/>
      <c r="X13" s="4"/>
      <c r="AL13" s="4"/>
    </row>
    <row r="14" spans="1:38">
      <c r="A14" s="4"/>
      <c r="B14" s="1" t="s">
        <v>11</v>
      </c>
      <c r="C14">
        <v>221</v>
      </c>
      <c r="L14" s="4"/>
      <c r="X14" s="4"/>
      <c r="AL14" s="4"/>
    </row>
    <row r="15" spans="1:38">
      <c r="A15" s="4"/>
      <c r="B15" s="1" t="s">
        <v>12</v>
      </c>
      <c r="C15">
        <v>1883</v>
      </c>
      <c r="L15" s="4"/>
      <c r="X15" s="4"/>
      <c r="AL15" s="4"/>
    </row>
    <row r="16" spans="1:38">
      <c r="A16" s="4"/>
      <c r="B16" s="1" t="s">
        <v>13</v>
      </c>
      <c r="C16">
        <v>11295</v>
      </c>
      <c r="L16" s="4"/>
      <c r="X16" s="4"/>
      <c r="AL16" s="4"/>
    </row>
    <row r="17" spans="1:38">
      <c r="A17" s="4"/>
      <c r="L17" s="4"/>
      <c r="X17" s="4"/>
      <c r="AL17" s="4"/>
    </row>
    <row r="18" spans="1:38">
      <c r="A18" s="4"/>
      <c r="L18" s="4"/>
      <c r="X18" s="4"/>
      <c r="AL18" s="4"/>
    </row>
    <row r="19" spans="1:38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</row>
    <row r="20" spans="1:38" ht="25.8">
      <c r="A20" s="4"/>
      <c r="B20" s="3" t="s">
        <v>23</v>
      </c>
      <c r="L20" s="4"/>
      <c r="M20" s="7" t="s">
        <v>39</v>
      </c>
      <c r="X20" s="4"/>
      <c r="Y20" s="7" t="s">
        <v>47</v>
      </c>
      <c r="AL20" s="4"/>
    </row>
    <row r="21" spans="1:38">
      <c r="A21" s="4"/>
      <c r="B21" s="2" t="s">
        <v>0</v>
      </c>
      <c r="C21" t="s">
        <v>15</v>
      </c>
      <c r="L21" s="4"/>
      <c r="M21" s="2" t="s">
        <v>0</v>
      </c>
      <c r="N21" t="s">
        <v>81</v>
      </c>
      <c r="X21" s="4"/>
      <c r="Y21" s="2" t="s">
        <v>0</v>
      </c>
      <c r="Z21" t="s">
        <v>40</v>
      </c>
      <c r="AL21" s="4"/>
    </row>
    <row r="22" spans="1:38">
      <c r="A22" s="4"/>
      <c r="B22" s="1" t="s">
        <v>16</v>
      </c>
      <c r="C22">
        <v>4516</v>
      </c>
      <c r="L22" s="4"/>
      <c r="M22" s="1" t="s">
        <v>82</v>
      </c>
      <c r="N22">
        <v>2199</v>
      </c>
      <c r="X22" s="4"/>
      <c r="Y22" s="1" t="s">
        <v>41</v>
      </c>
      <c r="Z22">
        <v>1050</v>
      </c>
      <c r="AL22" s="4"/>
    </row>
    <row r="23" spans="1:38">
      <c r="A23" s="4"/>
      <c r="B23" s="1" t="s">
        <v>17</v>
      </c>
      <c r="C23">
        <v>1836</v>
      </c>
      <c r="L23" s="4"/>
      <c r="M23" s="1" t="s">
        <v>83</v>
      </c>
      <c r="N23">
        <v>2980</v>
      </c>
      <c r="X23" s="4"/>
      <c r="Y23" s="1" t="s">
        <v>42</v>
      </c>
      <c r="Z23">
        <v>1465</v>
      </c>
      <c r="AL23" s="4"/>
    </row>
    <row r="24" spans="1:38">
      <c r="A24" s="4"/>
      <c r="B24" s="1" t="s">
        <v>18</v>
      </c>
      <c r="C24">
        <v>1551</v>
      </c>
      <c r="L24" s="4"/>
      <c r="M24" s="1" t="s">
        <v>84</v>
      </c>
      <c r="N24">
        <v>4816</v>
      </c>
      <c r="X24" s="4"/>
      <c r="Y24" s="1" t="s">
        <v>43</v>
      </c>
      <c r="Z24">
        <v>1295</v>
      </c>
      <c r="AL24" s="4"/>
    </row>
    <row r="25" spans="1:38">
      <c r="A25" s="4"/>
      <c r="B25" s="1" t="s">
        <v>8</v>
      </c>
      <c r="C25">
        <v>1674</v>
      </c>
      <c r="L25" s="4"/>
      <c r="M25" s="1" t="s">
        <v>85</v>
      </c>
      <c r="N25">
        <v>5</v>
      </c>
      <c r="X25" s="4"/>
      <c r="Y25" s="1" t="s">
        <v>44</v>
      </c>
      <c r="Z25">
        <v>1638</v>
      </c>
      <c r="AL25" s="4"/>
    </row>
    <row r="26" spans="1:38">
      <c r="A26" s="4"/>
      <c r="B26" s="1" t="s">
        <v>19</v>
      </c>
      <c r="C26">
        <v>110</v>
      </c>
      <c r="L26" s="4"/>
      <c r="M26" s="1" t="s">
        <v>13</v>
      </c>
      <c r="N26">
        <v>10000</v>
      </c>
      <c r="X26" s="4"/>
      <c r="Y26" s="1" t="s">
        <v>45</v>
      </c>
      <c r="Z26">
        <v>952</v>
      </c>
      <c r="AL26" s="4"/>
    </row>
    <row r="27" spans="1:38">
      <c r="A27" s="4"/>
      <c r="B27" s="1" t="s">
        <v>20</v>
      </c>
      <c r="C27">
        <v>235</v>
      </c>
      <c r="L27" s="4"/>
      <c r="X27" s="4"/>
      <c r="Y27" s="1" t="s">
        <v>22</v>
      </c>
      <c r="AL27" s="4"/>
    </row>
    <row r="28" spans="1:38">
      <c r="A28" s="4"/>
      <c r="B28" s="1" t="s">
        <v>21</v>
      </c>
      <c r="C28">
        <v>1373</v>
      </c>
      <c r="L28" s="4"/>
      <c r="X28" s="4"/>
      <c r="Y28" s="1" t="s">
        <v>13</v>
      </c>
      <c r="Z28">
        <v>6400</v>
      </c>
      <c r="AL28" s="4"/>
    </row>
    <row r="29" spans="1:38">
      <c r="A29" s="4"/>
      <c r="B29" s="1" t="s">
        <v>13</v>
      </c>
      <c r="C29">
        <v>11295</v>
      </c>
      <c r="L29" s="4"/>
      <c r="X29" s="4"/>
      <c r="AL29" s="4"/>
    </row>
    <row r="30" spans="1:38">
      <c r="A30" s="4"/>
      <c r="L30" s="4"/>
      <c r="X30" s="4"/>
      <c r="AL30" s="4"/>
    </row>
    <row r="31" spans="1:38">
      <c r="A31" s="4"/>
      <c r="L31" s="4"/>
      <c r="X31" s="4"/>
      <c r="AL31" s="4"/>
    </row>
    <row r="32" spans="1:38">
      <c r="A32" s="4"/>
      <c r="L32" s="4"/>
      <c r="X32" s="4"/>
      <c r="AL32" s="4"/>
    </row>
    <row r="33" spans="1:38">
      <c r="A33" s="4"/>
      <c r="L33" s="4"/>
      <c r="X33" s="4"/>
      <c r="AL33" s="4"/>
    </row>
    <row r="34" spans="1:38">
      <c r="A34" s="4"/>
      <c r="L34" s="4"/>
      <c r="X34" s="4"/>
      <c r="AL34" s="4"/>
    </row>
    <row r="35" spans="1:38">
      <c r="A35" s="4"/>
      <c r="L35" s="4"/>
      <c r="X35" s="4"/>
      <c r="AL35" s="4"/>
    </row>
    <row r="36" spans="1:38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</row>
    <row r="37" spans="1:38" ht="25.8">
      <c r="A37" s="4"/>
      <c r="B37" s="3" t="s">
        <v>28</v>
      </c>
      <c r="L37" s="4"/>
      <c r="M37" s="7" t="s">
        <v>71</v>
      </c>
      <c r="X37" s="4"/>
      <c r="Y37" s="7" t="s">
        <v>46</v>
      </c>
      <c r="AL37" s="4"/>
    </row>
    <row r="38" spans="1:38">
      <c r="A38" s="4"/>
      <c r="B38" s="2" t="s">
        <v>0</v>
      </c>
      <c r="C38" t="s">
        <v>24</v>
      </c>
      <c r="L38" s="4"/>
      <c r="M38" s="2" t="s">
        <v>0</v>
      </c>
      <c r="N38" t="s">
        <v>72</v>
      </c>
      <c r="X38" s="4"/>
      <c r="Y38" s="2" t="s">
        <v>0</v>
      </c>
      <c r="Z38" t="s">
        <v>40</v>
      </c>
      <c r="AL38" s="4"/>
    </row>
    <row r="39" spans="1:38">
      <c r="A39" s="4"/>
      <c r="B39" s="1" t="s">
        <v>25</v>
      </c>
      <c r="C39">
        <v>1056</v>
      </c>
      <c r="L39" s="4"/>
      <c r="M39" s="1" t="s">
        <v>73</v>
      </c>
      <c r="N39">
        <v>1419</v>
      </c>
      <c r="X39" s="4"/>
      <c r="Y39" s="1" t="s">
        <v>48</v>
      </c>
      <c r="Z39">
        <v>859</v>
      </c>
      <c r="AL39" s="4"/>
    </row>
    <row r="40" spans="1:38">
      <c r="A40" s="4"/>
      <c r="B40" s="1" t="s">
        <v>26</v>
      </c>
      <c r="C40">
        <v>9190</v>
      </c>
      <c r="L40" s="4"/>
      <c r="M40" s="1" t="s">
        <v>74</v>
      </c>
      <c r="N40">
        <v>957</v>
      </c>
      <c r="X40" s="4"/>
      <c r="Y40" s="1" t="s">
        <v>49</v>
      </c>
      <c r="Z40">
        <v>714</v>
      </c>
      <c r="AL40" s="4"/>
    </row>
    <row r="41" spans="1:38">
      <c r="A41" s="4"/>
      <c r="B41" s="1" t="s">
        <v>27</v>
      </c>
      <c r="C41">
        <v>828</v>
      </c>
      <c r="L41" s="4"/>
      <c r="M41" s="1" t="s">
        <v>75</v>
      </c>
      <c r="N41">
        <v>1322</v>
      </c>
      <c r="X41" s="4"/>
      <c r="Y41" s="1" t="s">
        <v>50</v>
      </c>
      <c r="Z41">
        <v>66</v>
      </c>
      <c r="AL41" s="4"/>
    </row>
    <row r="42" spans="1:38">
      <c r="A42" s="4"/>
      <c r="B42" s="1" t="s">
        <v>29</v>
      </c>
      <c r="C42">
        <v>221</v>
      </c>
      <c r="L42" s="4"/>
      <c r="M42" s="1" t="s">
        <v>76</v>
      </c>
      <c r="N42">
        <v>1553</v>
      </c>
      <c r="X42" s="4"/>
      <c r="Y42" s="1" t="s">
        <v>51</v>
      </c>
      <c r="Z42">
        <v>793</v>
      </c>
      <c r="AL42" s="4"/>
    </row>
    <row r="43" spans="1:38">
      <c r="A43" s="4"/>
      <c r="B43" s="1" t="s">
        <v>13</v>
      </c>
      <c r="C43">
        <v>11295</v>
      </c>
      <c r="L43" s="4"/>
      <c r="M43" s="1" t="s">
        <v>77</v>
      </c>
      <c r="N43">
        <v>1441</v>
      </c>
      <c r="X43" s="4"/>
      <c r="Y43" s="1" t="s">
        <v>41</v>
      </c>
      <c r="Z43">
        <v>1050</v>
      </c>
      <c r="AL43" s="4"/>
    </row>
    <row r="44" spans="1:38">
      <c r="A44" s="4"/>
      <c r="L44" s="4"/>
      <c r="M44" s="1" t="s">
        <v>78</v>
      </c>
      <c r="N44">
        <v>1675</v>
      </c>
      <c r="X44" s="4"/>
      <c r="Y44" s="1" t="s">
        <v>52</v>
      </c>
      <c r="Z44">
        <v>505</v>
      </c>
      <c r="AL44" s="4"/>
    </row>
    <row r="45" spans="1:38">
      <c r="A45" s="4"/>
      <c r="L45" s="4"/>
      <c r="M45" s="1" t="s">
        <v>79</v>
      </c>
      <c r="N45">
        <v>1633</v>
      </c>
      <c r="X45" s="4"/>
      <c r="Y45" s="1" t="s">
        <v>53</v>
      </c>
      <c r="Z45">
        <v>107</v>
      </c>
      <c r="AL45" s="4"/>
    </row>
    <row r="46" spans="1:38">
      <c r="A46" s="4"/>
      <c r="L46" s="4"/>
      <c r="M46" s="1" t="s">
        <v>80</v>
      </c>
      <c r="N46">
        <v>1295</v>
      </c>
      <c r="X46" s="4"/>
      <c r="Y46" s="1" t="s">
        <v>54</v>
      </c>
      <c r="Z46">
        <v>367</v>
      </c>
      <c r="AL46" s="4"/>
    </row>
    <row r="47" spans="1:38">
      <c r="A47" s="4"/>
      <c r="L47" s="4"/>
      <c r="M47" s="1" t="s">
        <v>13</v>
      </c>
      <c r="N47">
        <v>11295</v>
      </c>
      <c r="X47" s="4"/>
      <c r="Y47" s="1" t="s">
        <v>42</v>
      </c>
      <c r="Z47">
        <v>1465</v>
      </c>
      <c r="AL47" s="4"/>
    </row>
    <row r="48" spans="1:38">
      <c r="A48" s="4"/>
      <c r="L48" s="4"/>
      <c r="X48" s="4"/>
      <c r="Y48" s="1" t="s">
        <v>55</v>
      </c>
      <c r="Z48">
        <v>45</v>
      </c>
      <c r="AL48" s="4"/>
    </row>
    <row r="49" spans="1:39">
      <c r="A49" s="4"/>
      <c r="L49" s="4"/>
      <c r="X49" s="4"/>
      <c r="Y49" s="1" t="s">
        <v>56</v>
      </c>
      <c r="Z49">
        <v>2</v>
      </c>
      <c r="AL49" s="4"/>
    </row>
    <row r="50" spans="1:39">
      <c r="A50" s="4"/>
      <c r="L50" s="4"/>
      <c r="X50" s="4"/>
      <c r="Y50" s="1" t="s">
        <v>57</v>
      </c>
      <c r="Z50">
        <v>32</v>
      </c>
      <c r="AL50" s="4"/>
    </row>
    <row r="51" spans="1:39">
      <c r="A51" s="4"/>
      <c r="L51" s="4"/>
      <c r="X51" s="4"/>
      <c r="Y51" s="1" t="s">
        <v>58</v>
      </c>
      <c r="Z51">
        <v>116</v>
      </c>
      <c r="AL51" s="4"/>
    </row>
    <row r="52" spans="1:39">
      <c r="A52" s="4"/>
      <c r="L52" s="4"/>
      <c r="X52" s="4"/>
      <c r="Y52" s="1" t="s">
        <v>59</v>
      </c>
      <c r="Z52">
        <v>255</v>
      </c>
      <c r="AL52" s="4"/>
    </row>
    <row r="53" spans="1:39">
      <c r="A53" s="4"/>
      <c r="L53" s="4"/>
      <c r="X53" s="4"/>
      <c r="Y53" s="1" t="s">
        <v>60</v>
      </c>
      <c r="Z53">
        <v>896</v>
      </c>
      <c r="AL53" s="4"/>
    </row>
    <row r="54" spans="1:39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9"/>
      <c r="Y54" s="8" t="s">
        <v>44</v>
      </c>
      <c r="Z54" s="5">
        <v>1662</v>
      </c>
      <c r="AA54" s="5"/>
      <c r="AB54" s="5"/>
      <c r="AC54" s="5"/>
      <c r="AD54" s="5"/>
      <c r="AE54" s="5"/>
      <c r="AF54" s="5"/>
      <c r="AL54" s="4"/>
    </row>
    <row r="55" spans="1:39">
      <c r="A55" s="5"/>
      <c r="X55" s="9"/>
      <c r="Y55" s="1" t="s">
        <v>45</v>
      </c>
      <c r="Z55">
        <v>952</v>
      </c>
      <c r="AL55" s="4"/>
    </row>
    <row r="56" spans="1:39">
      <c r="A56" s="5"/>
      <c r="X56" s="9"/>
      <c r="Y56" s="1" t="s">
        <v>61</v>
      </c>
      <c r="Z56">
        <v>1295</v>
      </c>
      <c r="AL56" s="4"/>
    </row>
    <row r="57" spans="1:39">
      <c r="A57" s="5"/>
      <c r="X57" s="9"/>
      <c r="Y57" s="1" t="s">
        <v>62</v>
      </c>
      <c r="Z57">
        <v>111</v>
      </c>
      <c r="AL57" s="4"/>
    </row>
    <row r="58" spans="1:39">
      <c r="A58" s="5"/>
      <c r="X58" s="9"/>
      <c r="Y58" s="1" t="s">
        <v>63</v>
      </c>
      <c r="Z58">
        <v>3</v>
      </c>
      <c r="AL58" s="4"/>
    </row>
    <row r="59" spans="1:39">
      <c r="A59" s="5"/>
      <c r="X59" s="9"/>
      <c r="Y59" s="1" t="s">
        <v>13</v>
      </c>
      <c r="Z59">
        <v>11295</v>
      </c>
      <c r="AL59" s="4"/>
    </row>
    <row r="60" spans="1:39">
      <c r="A60" s="5"/>
      <c r="X60" s="9"/>
      <c r="AL60" s="4"/>
    </row>
    <row r="61" spans="1:39">
      <c r="A61" s="5"/>
      <c r="X61" s="9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5"/>
    </row>
    <row r="62" spans="1:39">
      <c r="A62" s="5"/>
    </row>
    <row r="63" spans="1:39">
      <c r="A63" s="5"/>
    </row>
    <row r="64" spans="1:39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  <row r="70" spans="1:1">
      <c r="A70" s="5"/>
    </row>
    <row r="71" spans="1:1">
      <c r="A71" s="5"/>
    </row>
    <row r="72" spans="1:1">
      <c r="A72" s="5"/>
    </row>
    <row r="73" spans="1:1">
      <c r="A73" s="5"/>
    </row>
    <row r="74" spans="1:1">
      <c r="A74" s="5"/>
    </row>
    <row r="75" spans="1:1">
      <c r="A75" s="5"/>
    </row>
    <row r="76" spans="1:1">
      <c r="A76" s="5"/>
    </row>
    <row r="77" spans="1:1">
      <c r="A77" s="5"/>
    </row>
    <row r="78" spans="1:1">
      <c r="A78" s="5"/>
    </row>
    <row r="79" spans="1:1">
      <c r="A79" s="5"/>
    </row>
    <row r="80" spans="1:1">
      <c r="A80" s="5"/>
    </row>
    <row r="81" spans="1:1">
      <c r="A81" s="5"/>
    </row>
    <row r="82" spans="1:1">
      <c r="A82" s="5"/>
    </row>
    <row r="83" spans="1:1">
      <c r="A83" s="5"/>
    </row>
    <row r="84" spans="1:1">
      <c r="A84" s="5"/>
    </row>
    <row r="85" spans="1:1">
      <c r="A85" s="5"/>
    </row>
    <row r="86" spans="1:1">
      <c r="A86" s="5"/>
    </row>
    <row r="87" spans="1:1">
      <c r="A87" s="5"/>
    </row>
    <row r="88" spans="1:1">
      <c r="A88" s="5"/>
    </row>
    <row r="89" spans="1:1">
      <c r="A89" s="5"/>
    </row>
    <row r="90" spans="1:1">
      <c r="A90" s="5"/>
    </row>
    <row r="91" spans="1:1">
      <c r="A91" s="5"/>
    </row>
    <row r="92" spans="1:1">
      <c r="A92" s="5"/>
    </row>
    <row r="93" spans="1:1">
      <c r="A93" s="5"/>
    </row>
    <row r="94" spans="1:1">
      <c r="A94" s="5"/>
    </row>
    <row r="95" spans="1:1">
      <c r="A95" s="5"/>
    </row>
    <row r="96" spans="1:1">
      <c r="A96" s="5"/>
    </row>
    <row r="97" spans="1:1">
      <c r="A97" s="5"/>
    </row>
    <row r="98" spans="1:1">
      <c r="A98" s="5"/>
    </row>
    <row r="99" spans="1:1">
      <c r="A99" s="5"/>
    </row>
    <row r="100" spans="1:1">
      <c r="A100" s="5"/>
    </row>
    <row r="101" spans="1:1">
      <c r="A101" s="5"/>
    </row>
    <row r="102" spans="1:1">
      <c r="A102" s="5"/>
    </row>
    <row r="103" spans="1:1">
      <c r="A103" s="5"/>
    </row>
    <row r="104" spans="1:1">
      <c r="A104" s="5"/>
    </row>
    <row r="105" spans="1:1">
      <c r="A105" s="5"/>
    </row>
    <row r="106" spans="1:1">
      <c r="A106" s="5"/>
    </row>
    <row r="107" spans="1:1">
      <c r="A107" s="5"/>
    </row>
    <row r="108" spans="1:1">
      <c r="A108" s="5"/>
    </row>
    <row r="109" spans="1:1">
      <c r="A109" s="5"/>
    </row>
    <row r="110" spans="1:1">
      <c r="A110" s="5"/>
    </row>
    <row r="111" spans="1:1">
      <c r="A111" s="5"/>
    </row>
    <row r="112" spans="1:1">
      <c r="A112" s="5"/>
    </row>
    <row r="113" spans="1:1">
      <c r="A113" s="5"/>
    </row>
    <row r="114" spans="1:1">
      <c r="A114" s="5"/>
    </row>
    <row r="115" spans="1:1">
      <c r="A115" s="5"/>
    </row>
    <row r="116" spans="1:1">
      <c r="A116" s="5"/>
    </row>
    <row r="117" spans="1:1">
      <c r="A117" s="5"/>
    </row>
    <row r="118" spans="1:1">
      <c r="A118" s="5"/>
    </row>
    <row r="119" spans="1:1">
      <c r="A119" s="5"/>
    </row>
    <row r="120" spans="1:1">
      <c r="A120" s="5"/>
    </row>
    <row r="121" spans="1:1">
      <c r="A121" s="5"/>
    </row>
    <row r="122" spans="1:1">
      <c r="A122" s="5"/>
    </row>
    <row r="123" spans="1:1">
      <c r="A123" s="5"/>
    </row>
    <row r="124" spans="1:1">
      <c r="A124" s="5"/>
    </row>
    <row r="125" spans="1:1">
      <c r="A125" s="5"/>
    </row>
    <row r="126" spans="1:1">
      <c r="A126" s="5"/>
    </row>
    <row r="127" spans="1:1">
      <c r="A127" s="5"/>
    </row>
    <row r="128" spans="1:1">
      <c r="A128" s="5"/>
    </row>
    <row r="129" spans="1:1">
      <c r="A129" s="5"/>
    </row>
    <row r="130" spans="1:1">
      <c r="A130" s="5"/>
    </row>
    <row r="131" spans="1:1">
      <c r="A131" s="5"/>
    </row>
    <row r="132" spans="1:1">
      <c r="A132" s="5"/>
    </row>
    <row r="133" spans="1:1">
      <c r="A133" s="5"/>
    </row>
    <row r="134" spans="1:1">
      <c r="A134" s="5"/>
    </row>
    <row r="135" spans="1:1">
      <c r="A135" s="5"/>
    </row>
    <row r="136" spans="1:1">
      <c r="A136" s="5"/>
    </row>
    <row r="137" spans="1:1">
      <c r="A137" s="5"/>
    </row>
    <row r="138" spans="1:1">
      <c r="A138" s="5"/>
    </row>
    <row r="139" spans="1:1">
      <c r="A139" s="5"/>
    </row>
    <row r="140" spans="1:1">
      <c r="A140" s="5"/>
    </row>
    <row r="141" spans="1:1">
      <c r="A141" s="5"/>
    </row>
    <row r="142" spans="1:1">
      <c r="A142" s="5"/>
    </row>
    <row r="143" spans="1:1">
      <c r="A143" s="5"/>
    </row>
    <row r="144" spans="1:1">
      <c r="A144" s="5"/>
    </row>
    <row r="145" spans="1:1">
      <c r="A145" s="5"/>
    </row>
    <row r="146" spans="1:1">
      <c r="A146" s="5"/>
    </row>
    <row r="147" spans="1:1">
      <c r="A147" s="5"/>
    </row>
    <row r="148" spans="1:1">
      <c r="A148" s="5"/>
    </row>
    <row r="149" spans="1:1">
      <c r="A149" s="5"/>
    </row>
    <row r="150" spans="1:1">
      <c r="A150" s="5"/>
    </row>
    <row r="151" spans="1:1">
      <c r="A151" s="5"/>
    </row>
    <row r="152" spans="1:1">
      <c r="A152" s="5"/>
    </row>
    <row r="153" spans="1:1">
      <c r="A153" s="5"/>
    </row>
    <row r="154" spans="1:1">
      <c r="A154" s="5"/>
    </row>
    <row r="155" spans="1:1">
      <c r="A155" s="5"/>
    </row>
    <row r="156" spans="1:1">
      <c r="A156" s="5"/>
    </row>
    <row r="157" spans="1:1">
      <c r="A157" s="5"/>
    </row>
    <row r="158" spans="1:1">
      <c r="A158" s="5"/>
    </row>
    <row r="159" spans="1:1">
      <c r="A159" s="5"/>
    </row>
    <row r="160" spans="1:1">
      <c r="A160" s="5"/>
    </row>
    <row r="161" spans="1:1">
      <c r="A161" s="5"/>
    </row>
    <row r="162" spans="1:1">
      <c r="A162" s="5"/>
    </row>
    <row r="163" spans="1:1">
      <c r="A163" s="5"/>
    </row>
    <row r="164" spans="1:1">
      <c r="A164" s="5"/>
    </row>
    <row r="165" spans="1:1">
      <c r="A165" s="5"/>
    </row>
    <row r="166" spans="1:1">
      <c r="A166" s="5"/>
    </row>
    <row r="167" spans="1:1">
      <c r="A167" s="5"/>
    </row>
    <row r="168" spans="1:1">
      <c r="A168" s="5"/>
    </row>
    <row r="169" spans="1:1">
      <c r="A169" s="5"/>
    </row>
    <row r="170" spans="1:1">
      <c r="A170" s="5"/>
    </row>
    <row r="171" spans="1:1">
      <c r="A171" s="5"/>
    </row>
    <row r="172" spans="1:1">
      <c r="A172" s="5"/>
    </row>
    <row r="173" spans="1:1">
      <c r="A173" s="5"/>
    </row>
    <row r="174" spans="1:1">
      <c r="A174" s="5"/>
    </row>
    <row r="175" spans="1:1">
      <c r="A175" s="5"/>
    </row>
    <row r="176" spans="1:1">
      <c r="A176" s="5"/>
    </row>
    <row r="177" spans="1:1">
      <c r="A177" s="5"/>
    </row>
    <row r="178" spans="1:1">
      <c r="A178" s="5"/>
    </row>
    <row r="179" spans="1:1">
      <c r="A179" s="5"/>
    </row>
    <row r="180" spans="1:1">
      <c r="A180" s="5"/>
    </row>
    <row r="181" spans="1:1">
      <c r="A181" s="5"/>
    </row>
    <row r="182" spans="1:1">
      <c r="A182" s="5"/>
    </row>
    <row r="183" spans="1:1">
      <c r="A183" s="5"/>
    </row>
    <row r="184" spans="1:1">
      <c r="A184" s="5"/>
    </row>
    <row r="185" spans="1:1">
      <c r="A185" s="5"/>
    </row>
    <row r="186" spans="1:1">
      <c r="A186" s="5"/>
    </row>
    <row r="187" spans="1:1">
      <c r="A187" s="5"/>
    </row>
    <row r="188" spans="1:1">
      <c r="A188" s="5"/>
    </row>
    <row r="189" spans="1:1">
      <c r="A189" s="5"/>
    </row>
    <row r="190" spans="1:1">
      <c r="A190" s="5"/>
    </row>
    <row r="191" spans="1:1">
      <c r="A191" s="5"/>
    </row>
    <row r="192" spans="1:1">
      <c r="A192" s="5"/>
    </row>
    <row r="193" spans="1:1">
      <c r="A193" s="5"/>
    </row>
    <row r="194" spans="1:1">
      <c r="A194" s="5"/>
    </row>
    <row r="195" spans="1:1">
      <c r="A195" s="5"/>
    </row>
    <row r="196" spans="1:1">
      <c r="A196" s="5"/>
    </row>
    <row r="197" spans="1:1">
      <c r="A197" s="5"/>
    </row>
  </sheetData>
  <pageMargins left="0.7" right="0.7" top="0.75" bottom="0.75" header="0.3" footer="0.3"/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Andiswa Asanda Mchunu</dc:creator>
  <cp:lastModifiedBy>Andiswa Asanda Mchunu</cp:lastModifiedBy>
  <dcterms:created xsi:type="dcterms:W3CDTF">2026-04-19T10:33:10Z</dcterms:created>
  <dcterms:modified xsi:type="dcterms:W3CDTF">2026-04-19T20:12:21Z</dcterms:modified>
</cp:coreProperties>
</file>